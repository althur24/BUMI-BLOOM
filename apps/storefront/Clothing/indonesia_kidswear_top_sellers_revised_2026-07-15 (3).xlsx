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d1022df22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 Sellers" sheetId="1" r:id="R7bf62523a5c149cd"/>
    <x:sheet xmlns:r="http://schemas.openxmlformats.org/officeDocument/2006/relationships" name="Methodology" sheetId="2" r:id="R8cbf9ecbfd7443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"/>
    <x:numFmt numFmtId="202" formatCode="0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F4A3C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3F4A3C"/>
      </x:patternFill>
    </x:fill>
    <x:fill>
      <x:patternFill patternType="solid">
        <x:fgColor rgb="FFEEE8D8"/>
      </x:patternFill>
    </x:fill>
    <x:fill>
      <x:patternFill patternType="solid">
        <x:fgColor rgb="FF8B9A7D"/>
      </x:patternFill>
    </x:fill>
    <x:fill>
      <x:patternFill patternType="solid">
        <x:fgColor rgb="FFF7F4EC"/>
      </x:patternFill>
    </x:fill>
    <x:fill>
      <x:patternFill patternType="solid">
        <x:fgColor rgb="FF59664F"/>
      </x:patternFill>
    </x:fill>
    <x:fill>
      <x:patternFill patternType="solid">
        <x:fgColor rgb="FFFBF7ED"/>
      </x:patternFill>
    </x:fill>
    <x:fill>
      <x:patternFill patternType="solid">
        <x:fgColor rgb="FFF4F1EA"/>
      </x:patternFill>
    </x:fill>
    <x:fill>
      <x:patternFill patternType="solid">
        <x:fgColor rgb="FFFBF7ED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202" fontId="0" fillId="7" borderId="0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 applyAlignment="1">
      <x:alignment vertical="top" wrapText="1"/>
    </x:xf>
    <x:xf numFmtId="201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202" fontId="0" fillId="7" borderId="1" xfId="0" applyNumberFormat="1" applyFont="1" applyFill="1" applyBorder="1" applyAlignment="1">
      <x:alignment vertical="top" wrapText="1"/>
    </x:xf>
    <x:xf numFmtId="200" fontId="0" fillId="7" borderId="1" xfId="0" applyNumberFormat="1" applyFont="1" applyFill="1" applyBorder="1" applyAlignment="1">
      <x:alignment vertical="top" wrapText="1"/>
    </x:xf>
    <x:xf numFmtId="201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202" fontId="0" fillId="8" borderId="0" xfId="0" applyNumberFormat="1" applyFont="1" applyFill="1" applyBorder="1" applyAlignment="1">
      <x:alignment vertical="top" wrapText="1"/>
    </x:xf>
    <x:xf numFmtId="200" fontId="0" fillId="8" borderId="0" xfId="0" applyNumberFormat="1" applyFont="1" applyFill="1" applyBorder="1" applyAlignment="1">
      <x:alignment vertical="top" wrapText="1"/>
    </x:xf>
    <x:xf numFmtId="201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202" fontId="0" fillId="8" borderId="1" xfId="0" applyNumberFormat="1" applyFont="1" applyFill="1" applyBorder="1" applyAlignment="1">
      <x:alignment vertical="top" wrapText="1"/>
    </x:xf>
    <x:xf numFmtId="200" fontId="0" fillId="8" borderId="1" xfId="0" applyNumberFormat="1" applyFont="1" applyFill="1" applyBorder="1" applyAlignment="1">
      <x:alignment vertical="top" wrapText="1"/>
    </x:xf>
    <x:xf numFmtId="201" fontId="0" fillId="8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vertical="top" wrapText="1"/>
    </x:xf>
    <x:xf numFmtId="202" fontId="0" fillId="9" borderId="0" xfId="0" applyNumberFormat="1" applyFont="1" applyFill="1" applyBorder="1" applyAlignment="1">
      <x:alignment vertical="top" wrapText="1"/>
    </x:xf>
    <x:xf numFmtId="200" fontId="0" fillId="9" borderId="0" xfId="0" applyNumberFormat="1" applyFont="1" applyFill="1" applyBorder="1" applyAlignment="1">
      <x:alignment vertical="top" wrapText="1"/>
    </x:xf>
    <x:xf numFmtId="201" fontId="0" fillId="9" borderId="0" xfId="0" applyNumberFormat="1" applyFont="1" applyFill="1" applyBorder="1" applyAlignment="1">
      <x:alignment vertical="top" wrapText="1"/>
    </x:xf>
    <x:xf numFmtId="0" fontId="0" fillId="9" xfId="0" applyNumberFormat="1" applyFont="1" applyFill="1" applyBorder="0" applyAlignment="1">
      <x:alignment vertical="top" wrapText="1"/>
    </x:xf>
    <x:xf numFmtId="202" fontId="0" fillId="9" xfId="0" applyNumberFormat="1" applyFont="1" applyFill="1" applyBorder="0" applyAlignment="1">
      <x:alignment vertical="top" wrapText="1"/>
    </x:xf>
    <x:xf numFmtId="200" fontId="0" fillId="9" xfId="0" applyNumberFormat="1" applyFont="1" applyFill="1" applyBorder="0" applyAlignment="1">
      <x:alignment vertical="top" wrapText="1"/>
    </x:xf>
    <x:xf numFmtId="201" fontId="0" fillId="9" xfId="0" applyNumberFormat="1" applyFont="1" applyFill="1" applyBorder="0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104cbb51bf403b" /><Relationship Type="http://schemas.openxmlformats.org/officeDocument/2006/relationships/theme" Target="/xl/theme/theme1.xml" Id="Re83ccc85f1cd486f" /><Relationship Type="http://schemas.openxmlformats.org/officeDocument/2006/relationships/sharedStrings" Target="/xl/sharedStrings.xml" Id="Rf55549a734af4195" /><Relationship Type="http://schemas.openxmlformats.org/officeDocument/2006/relationships/worksheet" Target="/xl/worksheets/sheet1.xml" Id="R7bf62523a5c149cd" /><Relationship Type="http://schemas.openxmlformats.org/officeDocument/2006/relationships/worksheet" Target="/xl/worksheets/sheet2.xml" Id="R8cbf9ecbfd7443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08f7f31b464f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Minimum Visible Sold by Brand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Products</c:v>
          </c:tx>
          <c:cat>
            <c:strRef>
              <c:f>'Top Sellers'!$A$5:$A$7</c:f>
              <c:strCache>
                <c:ptCount val="0"/>
              </c:strCache>
            </c:strRef>
          </c:cat>
          <c:val>
            <c:numRef>
              <c:f>'Top Sellers'!$B$5:$B$7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Minimum Visible Sold</c:v>
          </c:tx>
          <c:cat>
            <c:strRef>
              <c:f>'Top Sellers'!$A$5:$A$7</c:f>
              <c:strCache>
                <c:ptCount val="0"/>
              </c:strCache>
            </c:strRef>
          </c:cat>
          <c:val>
            <c:numRef>
              <c:f>'Top Sellers'!$C$5:$C$7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12</xdr:col>
      <xdr:colOff>0</xdr:colOff>
      <xdr:row>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08f7f31b464f7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opSellersTable" displayName="TopSellersTable" ref="A10:L25" headerRowCount="1">
  <x:tableColumns count="12">
    <x:tableColumn id="1" name="Brand"/>
    <x:tableColumn id="2" name="Rank"/>
    <x:tableColumn id="3" name="Product"/>
    <x:tableColumn id="4" name="Category"/>
    <x:tableColumn id="5" name="Visible Sold"/>
    <x:tableColumn id="6" name="Minimum Sold"/>
    <x:tableColumn id="7" name="Current Price"/>
    <x:tableColumn id="8" name="Rating"/>
    <x:tableColumn id="9" name="Ranking Source"/>
    <x:tableColumn id="10" name="Product URL"/>
    <x:tableColumn id="11" name="Official Brand Reference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ethodologyTable" displayName="MethodologyTable" ref="A3:F11" headerRowCount="1">
  <x:tableColumns count="6">
    <x:tableColumn id="1" name="Item"/>
    <x:tableColumn id="2" name="Method / Decision"/>
    <x:tableColumn id="3" name="Reason"/>
    <x:tableColumn id="4" name="Primary Source"/>
    <x:tableColumn id="5" name="Secondary Reference"/>
    <x:tableColumn id="6" name="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f7c968e5bad4905" /><Relationship Type="http://schemas.openxmlformats.org/officeDocument/2006/relationships/table" Target="/xl/tables/table1.xml" Id="R16e02fff6e7848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37a6c740a24d3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" hidden="0" customWidth="1"/>
    <x:col min="3" max="3" width="34" hidden="0" customWidth="1"/>
    <x:col min="4" max="4" width="23" hidden="0" customWidth="1"/>
    <x:col min="5" max="5" width="13" hidden="0" customWidth="1"/>
    <x:col min="6" max="6" width="14" hidden="0" customWidth="1"/>
    <x:col min="7" max="7" width="20" hidden="0" customWidth="1"/>
    <x:col min="8" max="8" width="10" hidden="0" customWidth="1"/>
    <x:col min="9" max="9" width="20" hidden="0" customWidth="1"/>
    <x:col min="10" max="10" width="48" hidden="0" customWidth="1"/>
    <x:col min="11" max="11" width="34" hidden="0" customWidth="1"/>
    <x:col min="12" max="12" width="42" hidden="0" customWidth="1"/>
  </x:cols>
  <x:sheetData>
    <x:row r="1" ht="32" customHeight="1">
      <x:c r="A1" s="5" t="str">
        <x:v>Top-Selling Kidswear Items — Indonesia</x:v>
      </x:c>
    </x:row>
    <x:row r="2" ht="34" customHeight="1">
      <x:c r="A2" s="13" t="str">
        <x:v>Five products per brand, ranked by the highest verified visible cumulative sold count on official marketplace listings. Socks and non-clothing packaging/cards excluded. Captured 15 July 2026.</x:v>
      </x:c>
    </x:row>
    <x:row r="4">
      <x:c r="A4" s="20" t="str">
        <x:v>Brand</x:v>
      </x:c>
      <x:c r="B4" s="20" t="str">
        <x:v>Products</x:v>
      </x:c>
      <x:c r="C4" s="20" t="str">
        <x:v>Minimum Visible Sold</x:v>
      </x:c>
      <x:c r="D4" s="20" t="str">
        <x:v>Average Rating</x:v>
      </x:c>
    </x:row>
    <x:row r="5">
      <x:c r="A5" s="24" t="str">
        <x:v>Bohopanna</x:v>
      </x:c>
      <x:c r="B5" s="26" t="n">
        <x:f>COUNTIF($A$11:$A$25,A5)</x:f>
        <x:v>5</x:v>
      </x:c>
      <x:c r="C5" s="26" t="n">
        <x:f>SUMIF($A$11:$A$25,A5,$F$11:$F$25)</x:f>
        <x:v>34000</x:v>
      </x:c>
      <x:c r="D5" s="28" t="n">
        <x:f>AVERAGEIF($A$11:$A$25,A5,$H$11:$H$25)</x:f>
        <x:v>4.9</x:v>
      </x:c>
    </x:row>
    <x:row r="6">
      <x:c r="A6" s="24" t="str">
        <x:v>Sabine &amp; Heem</x:v>
      </x:c>
      <x:c r="B6" s="26" t="n">
        <x:f>COUNTIF($A$11:$A$25,A6)</x:f>
        <x:v>5</x:v>
      </x:c>
      <x:c r="C6" s="26" t="n">
        <x:f>SUMIF($A$11:$A$25,A6,$F$11:$F$25)</x:f>
        <x:v>10429</x:v>
      </x:c>
      <x:c r="D6" s="28" t="n">
        <x:f>AVERAGEIF($A$11:$A$25,A6,$H$11:$H$25)</x:f>
        <x:v>4.9799999999999995</x:v>
      </x:c>
    </x:row>
    <x:row r="7">
      <x:c r="A7" s="24" t="str">
        <x:v>Anakmu</x:v>
      </x:c>
      <x:c r="B7" s="26" t="n">
        <x:f>COUNTIF($A$11:$A$25,A7)</x:f>
        <x:v>5</x:v>
      </x:c>
      <x:c r="C7" s="26" t="n">
        <x:f>SUMIF($A$11:$A$25,A7,$F$11:$F$25)</x:f>
        <x:v>30000</x:v>
      </x:c>
      <x:c r="D7" s="28" t="n">
        <x:f>AVERAGEIF($A$11:$A$25,A7,$H$11:$H$25)</x:f>
        <x:v>4.9</x:v>
      </x:c>
    </x:row>
    <x:row r="10" ht="15" hidden="0" customHeight="1">
      <x:c r="A10" s="34" t="str">
        <x:v>Brand</x:v>
      </x:c>
      <x:c r="B10" s="34" t="str">
        <x:v>Rank</x:v>
      </x:c>
      <x:c r="C10" s="34" t="str">
        <x:v>Product</x:v>
      </x:c>
      <x:c r="D10" s="34" t="str">
        <x:v>Category</x:v>
      </x:c>
      <x:c r="E10" s="34" t="str">
        <x:v>Visible Sold</x:v>
      </x:c>
      <x:c r="F10" s="34" t="str">
        <x:v>Minimum Sold</x:v>
      </x:c>
      <x:c r="G10" s="34" t="str">
        <x:v>Current Price</x:v>
      </x:c>
      <x:c r="H10" s="34" t="str">
        <x:v>Rating</x:v>
      </x:c>
      <x:c r="I10" s="34" t="str">
        <x:v>Ranking Source</x:v>
      </x:c>
      <x:c r="J10" s="34" t="str">
        <x:v>Product URL</x:v>
      </x:c>
      <x:c r="K10" s="34" t="str">
        <x:v>Official Brand Reference</x:v>
      </x:c>
      <x:c r="L10" s="34" t="str">
        <x:v>Notes</x:v>
      </x:c>
    </x:row>
    <x:row r="11" ht="26.399999618530273" hidden="0" customHeight="1">
      <x:c r="A11" s="51" t="str">
        <x:v>Bohopanna</x:v>
      </x:c>
      <x:c r="B11" s="52" t="n">
        <x:v>1</x:v>
      </x:c>
      <x:c r="C11" s="51" t="str">
        <x:v>Elliot Pant</x:v>
      </x:c>
      <x:c r="D11" s="51" t="str">
        <x:v>Kids shorts</x:v>
      </x:c>
      <x:c r="E11" s="51" t="str">
        <x:v>10RB+</x:v>
      </x:c>
      <x:c r="F11" s="53" t="n">
        <x:v>10000</x:v>
      </x:c>
      <x:c r="G11" s="51" t="str">
        <x:v>Rp79.800–Rp86.640</x:v>
      </x:c>
      <x:c r="H11" s="54" t="n">
        <x:v>4.9</x:v>
      </x:c>
      <x:c r="I11" s="51" t="str">
        <x:v>Shopee Official Shop</x:v>
      </x:c>
      <x:c r="J11" s="51" t="str">
        <x:v>https://shopee.co.id/BOHOPANNA-ELLIOT-PANT-CELANA-ANAK-i.31689890.29086527744</x:v>
      </x:c>
      <x:c r="K11" s="51" t="str">
        <x:v>https://bohopanna.com/</x:v>
      </x:c>
      <x:c r="L11" s="51" t="str">
        <x:v>Current product-page price; sold count from official-store snapshot.</x:v>
      </x:c>
    </x:row>
    <x:row r="12" ht="26.399999618530273" hidden="0" customHeight="1">
      <x:c r="A12" s="51" t="str">
        <x:v>Bohopanna</x:v>
      </x:c>
      <x:c r="B12" s="52" t="n">
        <x:v>2</x:v>
      </x:c>
      <x:c r="C12" s="51" t="str">
        <x:v>Basic Tee Girl</x:v>
      </x:c>
      <x:c r="D12" s="51" t="str">
        <x:v>Girls' T-shirt</x:v>
      </x:c>
      <x:c r="E12" s="51" t="str">
        <x:v>8RB+</x:v>
      </x:c>
      <x:c r="F12" s="53" t="n">
        <x:v>8000</x:v>
      </x:c>
      <x:c r="G12" s="51" t="str">
        <x:v>Rp42.180</x:v>
      </x:c>
      <x:c r="H12" s="54" t="n">
        <x:v>4.9</x:v>
      </x:c>
      <x:c r="I12" s="51" t="str">
        <x:v>Shopee Official Shop</x:v>
      </x:c>
      <x:c r="J12" s="51" t="str">
        <x:v>https://shopee.co.id/BOHOPANNA-BASIC-TEE-GIRL-Atasan-Anak-Perempuan-i.31689890.27217059667</x:v>
      </x:c>
      <x:c r="K12" s="51" t="str">
        <x:v>https://bohopanna.com/</x:v>
      </x:c>
      <x:c r="L12" s="51" t="str">
        <x:v>Price and sold count from official-store snapshot; direct page was temporarily unavailable.</x:v>
      </x:c>
    </x:row>
    <x:row r="13" ht="26.399999618530273" hidden="0" customHeight="1">
      <x:c r="A13" s="51" t="str">
        <x:v>Bohopanna</x:v>
      </x:c>
      <x:c r="B13" s="52" t="n">
        <x:v>3</x:v>
      </x:c>
      <x:c r="C13" s="51" t="str">
        <x:v>Pannadaily Set Kids Girl Print</x:v>
      </x:c>
      <x:c r="D13" s="51" t="str">
        <x:v>Girls' set</x:v>
      </x:c>
      <x:c r="E13" s="51" t="str">
        <x:v>6RB+</x:v>
      </x:c>
      <x:c r="F13" s="53" t="n">
        <x:v>6000</x:v>
      </x:c>
      <x:c r="G13" s="51" t="str">
        <x:v>Rp50.400–Rp57.120</x:v>
      </x:c>
      <x:c r="H13" s="54" t="n">
        <x:v>4.9</x:v>
      </x:c>
      <x:c r="I13" s="51" t="str">
        <x:v>Shopee Official Shop</x:v>
      </x:c>
      <x:c r="J13" s="51" t="str">
        <x:v>https://shopee.co.id/BOHOPANNA-PANNADAILY-SET-KIDS-GIRL-PRINT-Setelan-Baju-Anak-Perempuan-i.31689890.43952295564</x:v>
      </x:c>
      <x:c r="K13" s="51" t="str">
        <x:v>https://bohopanna.com/</x:v>
      </x:c>
      <x:c r="L13" s="51" t="str"/>
    </x:row>
    <x:row r="14" ht="26.399999618530273" hidden="0" customHeight="1">
      <x:c r="A14" s="51" t="str">
        <x:v>Bohopanna</x:v>
      </x:c>
      <x:c r="B14" s="52" t="n">
        <x:v>4</x:v>
      </x:c>
      <x:c r="C14" s="51" t="str">
        <x:v>Pannadaily Playsuit Girl Print</x:v>
      </x:c>
      <x:c r="D14" s="51" t="str">
        <x:v>Baby playsuit / jumper</x:v>
      </x:c>
      <x:c r="E14" s="51" t="str">
        <x:v>5RB+</x:v>
      </x:c>
      <x:c r="F14" s="53" t="n">
        <x:v>5000</x:v>
      </x:c>
      <x:c r="G14" s="51" t="str">
        <x:v>Rp47.040–Rp50.400</x:v>
      </x:c>
      <x:c r="H14" s="54" t="n">
        <x:v>4.9</x:v>
      </x:c>
      <x:c r="I14" s="51" t="str">
        <x:v>Shopee Official Shop</x:v>
      </x:c>
      <x:c r="J14" s="51" t="str">
        <x:v>https://shopee.co.id/BOHOPANNA-PANNADAILY-PLAYSUIT-GIRL-PRINT-Jumper-Bayi-i.31689890.44402276508</x:v>
      </x:c>
      <x:c r="K14" s="51" t="str">
        <x:v>https://bohopanna.com/</x:v>
      </x:c>
      <x:c r="L14" s="51" t="str"/>
    </x:row>
    <x:row r="15" ht="26.399999618530273" hidden="0" customHeight="1">
      <x:c r="A15" s="51" t="str">
        <x:v>Bohopanna</x:v>
      </x:c>
      <x:c r="B15" s="52" t="n">
        <x:v>5</x:v>
      </x:c>
      <x:c r="C15" s="51" t="str">
        <x:v>Barrel Jeans</x:v>
      </x:c>
      <x:c r="D15" s="51" t="str">
        <x:v>Kids' jeans</x:v>
      </x:c>
      <x:c r="E15" s="51" t="str">
        <x:v>5RB+</x:v>
      </x:c>
      <x:c r="F15" s="53" t="n">
        <x:v>5000</x:v>
      </x:c>
      <x:c r="G15" s="51" t="str">
        <x:v>Rp131.100–Rp171.000</x:v>
      </x:c>
      <x:c r="H15" s="54" t="n">
        <x:v>4.9</x:v>
      </x:c>
      <x:c r="I15" s="51" t="str">
        <x:v>Shopee Official Shop</x:v>
      </x:c>
      <x:c r="J15" s="51" t="str">
        <x:v>https://shopee.co.id/BOHOPANNA-BARREL-JEANS-CELANA-JEANS-ANAK-i.31689890.57756154776</x:v>
      </x:c>
      <x:c r="K15" s="51" t="str">
        <x:v>https://bohopanna.com/</x:v>
      </x:c>
      <x:c r="L15" s="51" t="str">
        <x:v>Tied at 5RB+ with other Bohopanna listings; selected as a distinct apparel style.</x:v>
      </x:c>
    </x:row>
    <x:row r="16" ht="26.399999618530273" hidden="0" customHeight="1">
      <x:c r="A16" s="59" t="str">
        <x:v>Sabine &amp; Heem</x:v>
      </x:c>
      <x:c r="B16" s="60" t="n">
        <x:v>1</x:v>
      </x:c>
      <x:c r="C16" s="59" t="str">
        <x:v>HORSE Linen Sashiko Shirt</x:v>
      </x:c>
      <x:c r="D16" s="59" t="str">
        <x:v>Kids' linen shirt</x:v>
      </x:c>
      <x:c r="E16" s="59" t="str">
        <x:v>7RB+</x:v>
      </x:c>
      <x:c r="F16" s="61" t="n">
        <x:v>7000</x:v>
      </x:c>
      <x:c r="G16" s="59" t="str">
        <x:v>Rp199.000</x:v>
      </x:c>
      <x:c r="H16" s="62" t="n">
        <x:v>5</x:v>
      </x:c>
      <x:c r="I16" s="59" t="str">
        <x:v>Shopee Official Store</x:v>
      </x:c>
      <x:c r="J16" s="59" t="str">
        <x:v>https://shopee.co.id/SABINE-AND-HEEM-HORSE-Linen-Sashiko-Shirt-Kemeja-Linen-Anak-i.130839262.28312348134</x:v>
      </x:c>
      <x:c r="K16" s="59" t="str">
        <x:v>https://www.sabineandheem.com/</x:v>
      </x:c>
      <x:c r="L16" s="59" t="str"/>
    </x:row>
    <x:row r="17" ht="26.399999618530273" hidden="0" customHeight="1">
      <x:c r="A17" s="59" t="str">
        <x:v>Sabine &amp; Heem</x:v>
      </x:c>
      <x:c r="B17" s="60" t="n">
        <x:v>2</x:v>
      </x:c>
      <x:c r="C17" s="59" t="str">
        <x:v>HOWDY Embroidery Tee</x:v>
      </x:c>
      <x:c r="D17" s="59" t="str">
        <x:v>Kids' cotton T-shirt</x:v>
      </x:c>
      <x:c r="E17" s="59" t="str">
        <x:v>1RB+</x:v>
      </x:c>
      <x:c r="F17" s="61" t="n">
        <x:v>1000</x:v>
      </x:c>
      <x:c r="G17" s="59" t="str">
        <x:v>Rp219.000</x:v>
      </x:c>
      <x:c r="H17" s="62" t="n">
        <x:v>4.9</x:v>
      </x:c>
      <x:c r="I17" s="59" t="str">
        <x:v>Shopee Official Store</x:v>
      </x:c>
      <x:c r="J17" s="59" t="str">
        <x:v>https://shopee.co.id/SABINE-AND-HEEM-HOWDY-Embroidery-Tee-Kaos-Katun-Anak-i.130839262.41767253231</x:v>
      </x:c>
      <x:c r="K17" s="59" t="str">
        <x:v>https://www.sabineandheem.com/</x:v>
      </x:c>
      <x:c r="L17" s="59" t="str"/>
    </x:row>
    <x:row r="18" ht="39.599998474121094" hidden="0" customHeight="1">
      <x:c r="A18" s="59" t="str">
        <x:v>Sabine &amp; Heem</x:v>
      </x:c>
      <x:c r="B18" s="60" t="n">
        <x:v>3</x:v>
      </x:c>
      <x:c r="C18" s="59" t="str">
        <x:v>WONDER Embroidery Linen Shirt — Black</x:v>
      </x:c>
      <x:c r="D18" s="59" t="str">
        <x:v>Kids' linen shirt</x:v>
      </x:c>
      <x:c r="E18" s="59" t="str">
        <x:v>1RB+</x:v>
      </x:c>
      <x:c r="F18" s="61" t="n">
        <x:v>1000</x:v>
      </x:c>
      <x:c r="G18" s="59" t="str">
        <x:v>Rp199.000</x:v>
      </x:c>
      <x:c r="H18" s="62" t="n">
        <x:v>5</x:v>
      </x:c>
      <x:c r="I18" s="59" t="str">
        <x:v>Shopee Official Store</x:v>
      </x:c>
      <x:c r="J18" s="59" t="str">
        <x:v>https://shopee.co.id/SABINE-AND-HEEM-WONDER-Embroidery-Linen-Shirt-Black-Kemeja-Linen-Anak-i.130839262.47600237165</x:v>
      </x:c>
      <x:c r="K18" s="59" t="str">
        <x:v>https://www.sabineandheem.com/</x:v>
      </x:c>
      <x:c r="L18" s="59" t="str">
        <x:v>Marketplace lists colors separately.</x:v>
      </x:c>
    </x:row>
    <x:row r="19" ht="39.599998474121094" hidden="0" customHeight="1">
      <x:c r="A19" s="59" t="str">
        <x:v>Sabine &amp; Heem</x:v>
      </x:c>
      <x:c r="B19" s="60" t="n">
        <x:v>4</x:v>
      </x:c>
      <x:c r="C19" s="59" t="str">
        <x:v>NA WILLA Cotton Knitted Collar Vest — Polkadot</x:v>
      </x:c>
      <x:c r="D19" s="59" t="str">
        <x:v>Girls' knitted vest</x:v>
      </x:c>
      <x:c r="E19" s="59" t="str">
        <x:v>808</x:v>
      </x:c>
      <x:c r="F19" s="61" t="n">
        <x:v>808</x:v>
      </x:c>
      <x:c r="G19" s="59" t="str">
        <x:v>Rp289.000</x:v>
      </x:c>
      <x:c r="H19" s="62" t="n">
        <x:v>5</x:v>
      </x:c>
      <x:c r="I19" s="59" t="str">
        <x:v>Shopee Official Store</x:v>
      </x:c>
      <x:c r="J19" s="59" t="str">
        <x:v>https://shopee.co.id/SABINE-AND-HEEM-NA-WILLA-COTTON-Knitted-Collar-Vest-Polkadot-Rompi-Rajut-Anak-Perempuan-i.130839262.57256689311</x:v>
      </x:c>
      <x:c r="K19" s="59" t="str">
        <x:v>https://www.sabineandheem.com/</x:v>
      </x:c>
      <x:c r="L19" s="59" t="str"/>
    </x:row>
    <x:row r="20" ht="39.599998474121094" hidden="0" customHeight="1">
      <x:c r="A20" s="59" t="str">
        <x:v>Sabine &amp; Heem</x:v>
      </x:c>
      <x:c r="B20" s="60" t="n">
        <x:v>5</x:v>
      </x:c>
      <x:c r="C20" s="59" t="str">
        <x:v>WONDER Embroidery Linen Shirt — Broken White</x:v>
      </x:c>
      <x:c r="D20" s="59" t="str">
        <x:v>Kids' linen shirt</x:v>
      </x:c>
      <x:c r="E20" s="59" t="str">
        <x:v>621</x:v>
      </x:c>
      <x:c r="F20" s="61" t="n">
        <x:v>621</x:v>
      </x:c>
      <x:c r="G20" s="59" t="str">
        <x:v>Rp199.000</x:v>
      </x:c>
      <x:c r="H20" s="62" t="n">
        <x:v>5</x:v>
      </x:c>
      <x:c r="I20" s="59" t="str">
        <x:v>Shopee Official Store</x:v>
      </x:c>
      <x:c r="J20" s="59" t="str">
        <x:v>https://shopee.co.id/SABINE-AND-HEEM-WONDER-Embroidery-Linen-Shirt-Broken-White-Kemeja-Linen-Anak-i.130839262.42929208882</x:v>
      </x:c>
      <x:c r="K20" s="59" t="str">
        <x:v>https://www.sabineandheem.com/</x:v>
      </x:c>
      <x:c r="L20" s="59" t="str">
        <x:v>Same design family as rank 3, but a separate marketplace listing.</x:v>
      </x:c>
    </x:row>
    <x:row r="21" ht="26.399999618530273" hidden="0" customHeight="1">
      <x:c r="A21" s="51" t="str">
        <x:v>Anakmu</x:v>
      </x:c>
      <x:c r="B21" s="52" t="n">
        <x:v>1</x:v>
      </x:c>
      <x:c r="C21" s="51" t="str">
        <x:v>Piccolo Jacket</x:v>
      </x:c>
      <x:c r="D21" s="51" t="str">
        <x:v>Kids' windbreaker</x:v>
      </x:c>
      <x:c r="E21" s="51" t="str">
        <x:v>10RB+</x:v>
      </x:c>
      <x:c r="F21" s="53" t="n">
        <x:v>10000</x:v>
      </x:c>
      <x:c r="G21" s="51" t="str">
        <x:v>Rp169.900–Rp209.900</x:v>
      </x:c>
      <x:c r="H21" s="54" t="n">
        <x:v>4.9</x:v>
      </x:c>
      <x:c r="I21" s="51" t="str">
        <x:v>Shopee Official Shop</x:v>
      </x:c>
      <x:c r="J21" s="51" t="str">
        <x:v>https://shopee.co.id/Anakmu-Piccolo-Jacket-Anak-1-8-Tahun-Premium-Polyester-Windbreaker-i.367854143.22845878435</x:v>
      </x:c>
      <x:c r="K21" s="51" t="str">
        <x:v>https://shopee.co.id/anakmu.id</x:v>
      </x:c>
      <x:c r="L21" s="51" t="str">
        <x:v>Tied with Torena Sweater on visible cumulative sold count.</x:v>
      </x:c>
    </x:row>
    <x:row r="22" ht="39.599998474121094" hidden="0" customHeight="1">
      <x:c r="A22" s="51" t="str">
        <x:v>Anakmu</x:v>
      </x:c>
      <x:c r="B22" s="52" t="n">
        <x:v>2</x:v>
      </x:c>
      <x:c r="C22" s="51" t="str">
        <x:v>Torena Sweater — Plain Basic</x:v>
      </x:c>
      <x:c r="D22" s="51" t="str">
        <x:v>Kids' fleece sweater</x:v>
      </x:c>
      <x:c r="E22" s="51" t="str">
        <x:v>10RB+</x:v>
      </x:c>
      <x:c r="F22" s="53" t="n">
        <x:v>10000</x:v>
      </x:c>
      <x:c r="G22" s="51" t="str">
        <x:v>Rp119.900–Rp149.900</x:v>
      </x:c>
      <x:c r="H22" s="54" t="n">
        <x:v>4.9</x:v>
      </x:c>
      <x:c r="I22" s="51" t="str">
        <x:v>Shopee Official Shop</x:v>
      </x:c>
      <x:c r="J22" s="51" t="str">
        <x:v>https://shopee.co.id/Anakmu-Torena-Sweater-Anak-Balita-Katun-Fleece-Premium-Super-Soft-1-14-Tahun-i.367854143.22123938296</x:v>
      </x:c>
      <x:c r="K22" s="51" t="str">
        <x:v>https://shopee.co.id/anakmu.id</x:v>
      </x:c>
      <x:c r="L22" s="51" t="str">
        <x:v>Plain fleece sweater; suitable for pairing with neutral shorts or pants.</x:v>
      </x:c>
    </x:row>
    <x:row r="23" ht="26.399999618530273" hidden="0" customHeight="1">
      <x:c r="A23" s="51" t="str">
        <x:v>Anakmu</x:v>
      </x:c>
      <x:c r="B23" s="52" t="n">
        <x:v>3</x:v>
      </x:c>
      <x:c r="C23" s="51" t="str">
        <x:v>Gufi Rib Sweater — Plain Basic</x:v>
      </x:c>
      <x:c r="D23" s="51" t="str">
        <x:v>Kids' cotton-knit sweater</x:v>
      </x:c>
      <x:c r="E23" s="51" t="str">
        <x:v>5RB+</x:v>
      </x:c>
      <x:c r="F23" s="53" t="n">
        <x:v>5000</x:v>
      </x:c>
      <x:c r="G23" s="51" t="str">
        <x:v>Rp119.900–Rp139.900</x:v>
      </x:c>
      <x:c r="H23" s="54" t="n">
        <x:v>4.9</x:v>
      </x:c>
      <x:c r="I23" s="51" t="str">
        <x:v>Shopee Official Shop</x:v>
      </x:c>
      <x:c r="J23" s="51" t="str">
        <x:v>https://shopee.co.id/Anakmu-Gufi-Rib-Sweater-Anak-1-5-Tahun-Premium-Cotton-Knit-i.367854143.25710525520</x:v>
      </x:c>
      <x:c r="K23" s="51" t="str">
        <x:v>https://shopee.co.id/anakmu.id</x:v>
      </x:c>
      <x:c r="L23" s="51" t="str">
        <x:v>Plain cotton-knit sweater with a minimal look.</x:v>
      </x:c>
    </x:row>
    <x:row r="24" ht="26.399999618530273" hidden="0" customHeight="1">
      <x:c r="A24" s="51" t="str">
        <x:v>Anakmu</x:v>
      </x:c>
      <x:c r="B24" s="52" t="n">
        <x:v>4</x:v>
      </x:c>
      <x:c r="C24" s="51" t="str">
        <x:v>Organic Pocket T-Shirt — Basic</x:v>
      </x:c>
      <x:c r="D24" s="51" t="str">
        <x:v>Toddler T-shirt</x:v>
      </x:c>
      <x:c r="E24" s="51" t="str">
        <x:v>4RB+</x:v>
      </x:c>
      <x:c r="F24" s="53" t="n">
        <x:v>4000</x:v>
      </x:c>
      <x:c r="G24" s="51" t="str">
        <x:v>Rp49.900</x:v>
      </x:c>
      <x:c r="H24" s="54" t="n">
        <x:v>4.9</x:v>
      </x:c>
      <x:c r="I24" s="51" t="str">
        <x:v>Shopee Official Shop</x:v>
      </x:c>
      <x:c r="J24" s="51" t="str">
        <x:v>https://shopee.co.id/Anakmu-Kaos-Anak-Balita-Katun-Putih-Organik-Saku-i.367854143.7473811904</x:v>
      </x:c>
      <x:c r="K24" s="51" t="str">
        <x:v>https://shopee.co.id/anakmu.id</x:v>
      </x:c>
      <x:c r="L24" s="51" t="str">
        <x:v>Basic organic-cotton T-shirt; works as a blank everyday top.</x:v>
      </x:c>
    </x:row>
    <x:row r="25" ht="39.599998474121094" hidden="0" customHeight="1">
      <x:c r="A25" s="73" t="str">
        <x:v>Anakmu</x:v>
      </x:c>
      <x:c r="B25" s="74" t="n">
        <x:v>5</x:v>
      </x:c>
      <x:c r="C25" s="73" t="str">
        <x:v>Brisa Cargo Pants</x:v>
      </x:c>
      <x:c r="D25" s="73" t="str">
        <x:v>Unisex kids' cargo pants</x:v>
      </x:c>
      <x:c r="E25" s="73" t="str">
        <x:v>1RB+</x:v>
      </x:c>
      <x:c r="F25" s="75" t="n">
        <x:v>1000</x:v>
      </x:c>
      <x:c r="G25" s="73" t="str">
        <x:v>Rp99.900</x:v>
      </x:c>
      <x:c r="H25" s="76" t="n">
        <x:v>4.9</x:v>
      </x:c>
      <x:c r="I25" s="73" t="str">
        <x:v>Shopee Official Shop</x:v>
      </x:c>
      <x:c r="J25" s="73" t="str">
        <x:v>https://shopee.co.id/Anakmu-Brisa-Celana-Panjang-Kargo-Anak-Perempuan-Laki-Laki-Usia-1-7-Tahun-i.367854143.23773709008</x:v>
      </x:c>
      <x:c r="K25" s="73" t="str">
        <x:v>https://shopee.co.id/anakmu.id</x:v>
      </x:c>
      <x:c r="L25" s="73" t="str">
        <x:v>Replaces the Zain Koko Set. Selected as a versatile basic bottom that can be paired with the plain Torena/Gufi sweaters or Organic Pocket T-Shirt.</x:v>
      </x:c>
    </x:row>
  </x:sheetData>
  <x:mergeCells>
    <x:mergeCell ref="A1:L1"/>
    <x:mergeCell ref="A2:L2"/>
  </x:mergeCells>
  <x:conditionalFormatting sqref="F11:F25">
    <x:cfRule type="dataBar" priority="1">
      <x:dataBar>
        <x:cfvo type="min"/>
        <x:cfvo type="max"/>
        <x:color rgb="FF8B9A7D"/>
      </x:dataBar>
      <x:extLst>
        <x:ext xmlns:x14="http://schemas.microsoft.com/office/spreadsheetml/2009/9/main" uri="{B025F937-C7B1-47D3-B67F-A62EFF666E3E}">
          <x14:id>{A7538D0F-3AE2-88C4-763E-EDEED0A49192}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bf7c968e5bad4905"/>
  <x:tableParts count="1">
    <x:tablePart xmlns:r="http://schemas.openxmlformats.org/officeDocument/2006/relationships" r:id="R16e02fff6e7848b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7538D0F-3AE2-88C4-763E-EDEED0A49192}">
            <x14:dataBar gradient="1">
              <x14:cfvo type="min"/>
              <x14:cfvo type="max"/>
              <x14:fillColor rgb="FF8B9A7D"/>
            </x14:dataBar>
          </x14:cfRule>
          <xm:sqref>F11:F25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48" hidden="0" customWidth="1"/>
    <x:col min="4" max="4" width="28" hidden="0" customWidth="1"/>
    <x:col min="5" max="5" width="38" hidden="0" customWidth="1"/>
    <x:col min="6" max="6" width="14" hidden="0" customWidth="1"/>
  </x:cols>
  <x:sheetData>
    <x:row r="1" ht="32" customHeight="1">
      <x:c r="A1" s="67" t="str">
        <x:v>Methodology &amp; Limitations</x:v>
      </x:c>
    </x:row>
    <x:row r="3" ht="15" hidden="0" customHeight="1">
      <x:c r="A3" s="33" t="str">
        <x:v>Item</x:v>
      </x:c>
      <x:c r="B3" s="33" t="str">
        <x:v>Method / Decision</x:v>
      </x:c>
      <x:c r="C3" s="33" t="str">
        <x:v>Reason</x:v>
      </x:c>
      <x:c r="D3" s="33" t="str">
        <x:v>Primary Source</x:v>
      </x:c>
      <x:c r="E3" s="33" t="str">
        <x:v>Secondary Reference</x:v>
      </x:c>
      <x:c r="F3" s="33" t="str">
        <x:v>Date</x:v>
      </x:c>
    </x:row>
    <x:row r="4" ht="26.399999618530273" hidden="0" customHeight="1">
      <x:c r="A4" s="42" t="str">
        <x:v>Ranking metric</x:v>
      </x:c>
      <x:c r="B4" s="42" t="str">
        <x:v>Visible cumulative “terjual” count from official Shopee store/product pages.</x:v>
      </x:c>
      <x:c r="C4" s="42" t="str">
        <x:v>Most comparable public demand signal across the three brands.</x:v>
      </x:c>
      <x:c r="D4" s="42" t="str">
        <x:v>Official Shopee stores</x:v>
      </x:c>
      <x:c r="E4" s="42" t="str">
        <x:v>Brand websites</x:v>
      </x:c>
      <x:c r="F4" s="42" t="str">
        <x:v>2026-07-15</x:v>
      </x:c>
    </x:row>
    <x:row r="5" ht="26.399999618530273" hidden="0" customHeight="1">
      <x:c r="A5" s="42" t="str">
        <x:v>Rounded counts</x:v>
      </x:c>
      <x:c r="B5" s="42" t="str">
        <x:v>10RB+, 7RB+, etc. are stored as minimum lower bounds (10,000; 7,000).</x:v>
      </x:c>
      <x:c r="C5" s="42" t="str">
        <x:v>Marketplace counts are rounded and therefore not exact totals.</x:v>
      </x:c>
      <x:c r="D5" s="42" t="str">
        <x:v>Official Shopee stores</x:v>
      </x:c>
      <x:c r="E5" s="42" t="str"/>
      <x:c r="F5" s="42" t="str">
        <x:v>2026-07-15</x:v>
      </x:c>
    </x:row>
    <x:row r="6" ht="26.399999618530273" hidden="0" customHeight="1">
      <x:c r="A6" s="42" t="str">
        <x:v>Exclusions</x:v>
      </x:c>
      <x:c r="B6" s="42" t="str">
        <x:v>Socks excluded as requested. Gift boxes, packaging and cards also excluded.</x:v>
      </x:c>
      <x:c r="C6" s="42" t="str">
        <x:v>Keeps the output focused on sellable fashion products.</x:v>
      </x:c>
      <x:c r="D6" s="42" t="str">
        <x:v>Official Shopee stores</x:v>
      </x:c>
      <x:c r="E6" s="42" t="str"/>
      <x:c r="F6" s="42" t="str">
        <x:v>2026-07-15</x:v>
      </x:c>
    </x:row>
    <x:row r="7" ht="26.399999618530273" hidden="0" customHeight="1">
      <x:c r="A7" s="42" t="str">
        <x:v>Dynamic listings</x:v>
      </x:c>
      <x:c r="B7" s="42" t="str">
        <x:v>Shopee store recommendation cards changed between page loads; the highest verified official-store count was retained.</x:v>
      </x:c>
      <x:c r="C7" s="42" t="str">
        <x:v>Reduces under-ranking caused by dynamic/personalized store pages.</x:v>
      </x:c>
      <x:c r="D7" s="42" t="str">
        <x:v>Official Shopee stores</x:v>
      </x:c>
      <x:c r="E7" s="42" t="str"/>
      <x:c r="F7" s="42" t="str">
        <x:v>2026-07-15</x:v>
      </x:c>
    </x:row>
    <x:row r="8" ht="26.399999618530273" hidden="0" customHeight="1">
      <x:c r="A8" s="42" t="str">
        <x:v>Prices</x:v>
      </x:c>
      <x:c r="B8" s="42" t="str">
        <x:v>Current displayed price or range was captured; vouchers can change the checkout price.</x:v>
      </x:c>
      <x:c r="C8" s="42" t="str">
        <x:v>Marketplace prices vary by size, color, voucher and campaign.</x:v>
      </x:c>
      <x:c r="D8" s="42" t="str">
        <x:v>Product pages</x:v>
      </x:c>
      <x:c r="E8" s="42" t="str">
        <x:v>Brand websites</x:v>
      </x:c>
      <x:c r="F8" s="42" t="str">
        <x:v>2026-07-15</x:v>
      </x:c>
    </x:row>
    <x:row r="9" ht="26.399999618530273" hidden="0" customHeight="1">
      <x:c r="A9" s="42" t="str">
        <x:v>Tokopedia</x:v>
      </x:c>
      <x:c r="B9" s="42" t="str">
        <x:v>No Tokopedia sold-count data was used where the listing was not consistently indexable/verifiable.</x:v>
      </x:c>
      <x:c r="C9" s="42" t="str">
        <x:v>Avoids guessing or mixing weak signals with verified sold counts.</x:v>
      </x:c>
      <x:c r="D9" s="42" t="str">
        <x:v>Tokopedia search results</x:v>
      </x:c>
      <x:c r="E9" s="42" t="str"/>
      <x:c r="F9" s="42" t="str">
        <x:v>2026-07-15</x:v>
      </x:c>
    </x:row>
    <x:row r="10" ht="26.399999618530273" hidden="0" customHeight="1">
      <x:c r="A10" s="42" t="str">
        <x:v>Sabine duplicate style</x:v>
      </x:c>
      <x:c r="B10" s="42" t="str">
        <x:v>Black and Broken White WONDER shirts are separate Shopee listings and therefore ranked separately.</x:v>
      </x:c>
      <x:c r="C10" s="42" t="str">
        <x:v>The request asks for items/listings; a de-duplicated style view would replace rank 5 with JAKKE Denim Overall (395 sold).</x:v>
      </x:c>
      <x:c r="D10" s="42" t="str">
        <x:v>Sabine &amp; Heem Official Store</x:v>
      </x:c>
      <x:c r="E10" s="42" t="str">
        <x:v>https://www.sabineandheem.com/</x:v>
      </x:c>
      <x:c r="F10" s="42" t="str">
        <x:v>2026-07-15</x:v>
      </x:c>
    </x:row>
    <x:row r="11" ht="15" hidden="0" customHeight="1">
      <x:c r="A11" s="77" t="str">
        <x:v>Anakmu basic-product adjustment</x:v>
      </x:c>
      <x:c r="B11" s="77" t="str">
        <x:v>Zain Koko Set was removed and replaced with Brisa Cargo Pants (1RB+ sold). Torena, Gufi and Organic Pocket T-Shirt were labeled as plain/basic items.</x:v>
      </x:c>
      <x:c r="C11" s="77" t="str">
        <x:v>Matches the requested assortment direction: blank sweater, blank shirt and a coordinating shorts/pants option.</x:v>
      </x:c>
      <x:c r="D11" s="77" t="str">
        <x:v>Anakmu Official Shop</x:v>
      </x:c>
      <x:c r="E11" s="77" t="str">
        <x:v>https://shopee.co.id/Anakmu-Brisa-Celana-Panjang-Kargo-Anak-Perempuan-Laki-Laki-Usia-1-7-Tahun-i.367854143.23773709008</x:v>
      </x:c>
      <x:c r="F11" s="77" t="str">
        <x:v>2026-07-15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037a6c740a24d38"/>
  </x:tableParts>
</x:worksheet>
</file>